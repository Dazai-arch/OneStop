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feb07d3c7c5382/Desktop/"/>
    </mc:Choice>
  </mc:AlternateContent>
  <xr:revisionPtr revIDLastSave="2" documentId="8_{03DA1DB8-8716-4CA8-818D-552B4FCAF108}" xr6:coauthVersionLast="47" xr6:coauthVersionMax="47" xr10:uidLastSave="{3A3854EB-95A1-443C-BEB6-A03B08EB559D}"/>
  <bookViews>
    <workbookView xWindow="-108" yWindow="-108" windowWidth="23256" windowHeight="12576" xr2:uid="{34E86727-5A6B-42C2-A086-3CA36FCF81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1" l="1"/>
  <c r="E26" i="1"/>
  <c r="E25" i="1"/>
  <c r="E24" i="1"/>
  <c r="F23" i="1"/>
  <c r="G23" i="1"/>
  <c r="H23" i="1"/>
  <c r="I23" i="1"/>
  <c r="J23" i="1"/>
  <c r="K23" i="1"/>
  <c r="L23" i="1"/>
  <c r="M23" i="1"/>
  <c r="E23" i="1"/>
  <c r="E22" i="1"/>
  <c r="F21" i="1"/>
  <c r="G21" i="1"/>
  <c r="H21" i="1"/>
  <c r="I21" i="1"/>
  <c r="J21" i="1"/>
  <c r="K21" i="1"/>
  <c r="L21" i="1"/>
  <c r="M21" i="1"/>
  <c r="E21" i="1"/>
  <c r="F20" i="1"/>
  <c r="G20" i="1"/>
  <c r="H20" i="1"/>
  <c r="I20" i="1"/>
  <c r="J20" i="1"/>
  <c r="K20" i="1"/>
  <c r="L20" i="1"/>
  <c r="M20" i="1"/>
  <c r="E20" i="1"/>
  <c r="F19" i="1"/>
  <c r="G19" i="1"/>
  <c r="H19" i="1"/>
  <c r="I19" i="1"/>
  <c r="J19" i="1"/>
  <c r="K19" i="1"/>
  <c r="E19" i="1"/>
  <c r="F18" i="1"/>
  <c r="G18" i="1"/>
  <c r="H18" i="1"/>
  <c r="I18" i="1"/>
  <c r="J18" i="1"/>
  <c r="K18" i="1"/>
  <c r="L18" i="1"/>
  <c r="M18" i="1"/>
  <c r="E18" i="1"/>
  <c r="E17" i="1"/>
  <c r="F17" i="1"/>
  <c r="G17" i="1"/>
  <c r="H17" i="1"/>
  <c r="I17" i="1"/>
  <c r="J17" i="1"/>
  <c r="K17" i="1"/>
  <c r="L17" i="1"/>
  <c r="M17" i="1"/>
  <c r="F16" i="1"/>
  <c r="G16" i="1"/>
  <c r="H16" i="1"/>
  <c r="I16" i="1"/>
  <c r="J16" i="1"/>
  <c r="K16" i="1"/>
  <c r="L16" i="1"/>
  <c r="M16" i="1"/>
  <c r="E16" i="1"/>
  <c r="F15" i="1"/>
  <c r="G15" i="1"/>
  <c r="H15" i="1"/>
  <c r="I15" i="1"/>
  <c r="J15" i="1"/>
  <c r="K15" i="1"/>
  <c r="L15" i="1"/>
  <c r="M15" i="1"/>
  <c r="E15" i="1"/>
  <c r="M4" i="1"/>
  <c r="M5" i="1"/>
  <c r="M6" i="1"/>
  <c r="M7" i="1"/>
  <c r="M8" i="1"/>
  <c r="M9" i="1"/>
  <c r="M10" i="1"/>
  <c r="M11" i="1"/>
  <c r="M2" i="1"/>
  <c r="L3" i="1"/>
  <c r="M3" i="1" s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H3" i="1"/>
  <c r="H4" i="1"/>
  <c r="H5" i="1"/>
  <c r="H6" i="1"/>
  <c r="H7" i="1"/>
  <c r="H8" i="1"/>
  <c r="H9" i="1"/>
  <c r="H10" i="1"/>
  <c r="H11" i="1"/>
  <c r="H2" i="1"/>
  <c r="I2" i="1" s="1"/>
  <c r="G3" i="1"/>
  <c r="G4" i="1"/>
  <c r="I4" i="1" s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I3" i="1"/>
  <c r="I7" i="1"/>
  <c r="I8" i="1"/>
  <c r="I11" i="1"/>
  <c r="I6" i="1" l="1"/>
  <c r="I5" i="1"/>
  <c r="I10" i="1"/>
  <c r="I9" i="1"/>
</calcChain>
</file>

<file path=xl/sharedStrings.xml><?xml version="1.0" encoding="utf-8"?>
<sst xmlns="http://schemas.openxmlformats.org/spreadsheetml/2006/main" count="36" uniqueCount="36">
  <si>
    <t>Emp no</t>
  </si>
  <si>
    <t>Name</t>
  </si>
  <si>
    <t>Designation</t>
  </si>
  <si>
    <t>Department</t>
  </si>
  <si>
    <t>Basic Salary</t>
  </si>
  <si>
    <t>DA</t>
  </si>
  <si>
    <t>HRA</t>
  </si>
  <si>
    <t>CCA</t>
  </si>
  <si>
    <t>GROSS SALARY</t>
  </si>
  <si>
    <t>LOAN</t>
  </si>
  <si>
    <t>Income Tax</t>
  </si>
  <si>
    <t>Deduction</t>
  </si>
  <si>
    <t>Net Salary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</si>
  <si>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</si>
  <si>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</si>
  <si>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</si>
  <si>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</si>
  <si>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</si>
  <si>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</si>
  <si>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</si>
  <si>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</si>
  <si>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</si>
  <si>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</si>
  <si>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MAX</t>
  </si>
  <si>
    <t>MIN</t>
  </si>
  <si>
    <t>AVERAGE</t>
  </si>
  <si>
    <t>MEAN</t>
  </si>
  <si>
    <t>MODE</t>
  </si>
  <si>
    <t>STAND DEVI</t>
  </si>
  <si>
    <t>VARIANCE</t>
  </si>
  <si>
    <t>SUMIF</t>
  </si>
  <si>
    <t>COUNTA</t>
  </si>
  <si>
    <t>COUNTIF</t>
  </si>
  <si>
    <t>COUNTBLANK</t>
  </si>
  <si>
    <t>SUMIFS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</si>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</sst>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52EA3-1B47-4613-9A0E-D0B993DED216}">
  <dimension ref="A1:M27"/>
  <sheetViews>
    <sheetView tabSelected="1" workbookViewId="0">
      <selection activeCell="H6" sqref="H6"/>
    </sheetView>
  </sheetViews>
  <sheetFormatPr defaultRowHeight="14.4" x14ac:dyDescent="0.3"/>
  <cols>
    <col min="3" max="3" width="10.88671875" customWidth="1"/>
    <col min="4" max="4" width="12.77734375" customWidth="1"/>
    <col min="5" max="5" width="10.33203125" customWidth="1"/>
    <col min="9" max="9" width="13.5546875" customWidth="1"/>
    <col min="11" max="11" width="10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E2">
        <v>50000</v>
      </c>
      <c r="F2">
        <f>IF(AND(E2&lt;=5000),12,IF(AND(E2&gt;5000,E2&lt;=20000),15,IF(AND(E2&gt;20000,E2&lt;=30000),17,20)))</f>
        <v>20</v>
      </c>
      <c r="G2">
        <f>IF(AND(E2&lt;=5000),16,IF(AND(E2&gt;5000,E2&lt;=20000),19,IF(AND(E2&gt;20000,E2&lt;=30000),21,25)))</f>
        <v>25</v>
      </c>
      <c r="H2">
        <f>IF(AND(E2&lt;=5000),400,IF(AND(E2&gt;5000,E2&lt;=20000),1000,IF(AND(E2&gt;20000,E2&lt;=30000),2000,5000)))</f>
        <v>5000</v>
      </c>
      <c r="I2">
        <f>SUM(E2:H2)</f>
        <v>55045</v>
      </c>
      <c r="J2">
        <v>1000</v>
      </c>
      <c r="K2">
        <f>(E2*20)/100</f>
        <v>10000</v>
      </c>
      <c r="L2">
        <f>K2+J2</f>
        <v>11000</v>
      </c>
      <c r="M2">
        <f>I2-L2</f>
        <v>44045</v>
      </c>
    </row>
    <row r="3" spans="1:13" x14ac:dyDescent="0.3">
      <c r="A3">
        <v>2</v>
      </c>
      <c r="B3" t="s">
        <v>14</v>
      </c>
      <c r="E3">
        <v>10000</v>
      </c>
      <c r="F3">
        <f t="shared" ref="F3:F11" si="0">IF(AND(E3&lt;=5000),12,IF(AND(E3&gt;5000,E3&lt;=20000),15,IF(AND(E3&gt;20000,E3&lt;=30000),17,20)))</f>
        <v>15</v>
      </c>
      <c r="G3">
        <f t="shared" ref="G3:G11" si="1">IF(AND(E3&lt;=5000),16,IF(AND(E3&gt;5000,E3&lt;=20000),19,IF(AND(E3&gt;20000,E3&lt;=30000),21,25)))</f>
        <v>19</v>
      </c>
      <c r="H3">
        <f t="shared" ref="H3:H11" si="2">IF(AND(E3&lt;=5000),400,IF(AND(E3&gt;5000,E3&lt;=20000),1000,IF(AND(E3&gt;20000,E3&lt;=30000),2000,5000)))</f>
        <v>1000</v>
      </c>
      <c r="I3">
        <f t="shared" ref="I3:I11" si="3">SUM(E3:H3)</f>
        <v>11034</v>
      </c>
      <c r="J3">
        <v>1000</v>
      </c>
      <c r="K3">
        <f t="shared" ref="K3:K11" si="4">(E3*20)/100</f>
        <v>2000</v>
      </c>
      <c r="L3">
        <f t="shared" ref="L3:L11" si="5">K3+J3</f>
        <v>3000</v>
      </c>
      <c r="M3">
        <f t="shared" ref="M3:M11" si="6">I3-L3</f>
        <v>8034</v>
      </c>
    </row>
    <row r="4" spans="1:13" x14ac:dyDescent="0.3">
      <c r="A4">
        <v>3</v>
      </c>
      <c r="B4" t="s">
        <v>15</v>
      </c>
      <c r="E4">
        <v>20000</v>
      </c>
      <c r="F4">
        <f t="shared" si="0"/>
        <v>15</v>
      </c>
      <c r="G4">
        <f t="shared" si="1"/>
        <v>19</v>
      </c>
      <c r="H4">
        <f t="shared" si="2"/>
        <v>1000</v>
      </c>
      <c r="I4">
        <f t="shared" si="3"/>
        <v>21034</v>
      </c>
      <c r="J4">
        <v>12000</v>
      </c>
      <c r="K4">
        <f t="shared" si="4"/>
        <v>4000</v>
      </c>
      <c r="L4">
        <f t="shared" si="5"/>
        <v>16000</v>
      </c>
      <c r="M4">
        <f t="shared" si="6"/>
        <v>5034</v>
      </c>
    </row>
    <row r="5" spans="1:13" x14ac:dyDescent="0.3">
      <c r="A5">
        <v>4</v>
      </c>
      <c r="B5" t="s">
        <v>16</v>
      </c>
      <c r="E5">
        <v>25000</v>
      </c>
      <c r="F5">
        <f t="shared" si="0"/>
        <v>17</v>
      </c>
      <c r="G5">
        <f t="shared" si="1"/>
        <v>21</v>
      </c>
      <c r="H5">
        <f t="shared" si="2"/>
        <v>2000</v>
      </c>
      <c r="I5">
        <f t="shared" si="3"/>
        <v>27038</v>
      </c>
      <c r="J5">
        <v>2000</v>
      </c>
      <c r="K5">
        <f t="shared" si="4"/>
        <v>5000</v>
      </c>
      <c r="L5">
        <f t="shared" si="5"/>
        <v>7000</v>
      </c>
      <c r="M5">
        <f t="shared" si="6"/>
        <v>20038</v>
      </c>
    </row>
    <row r="6" spans="1:13" x14ac:dyDescent="0.3">
      <c r="A6">
        <v>5</v>
      </c>
      <c r="B6" t="s">
        <v>17</v>
      </c>
      <c r="E6">
        <v>10000</v>
      </c>
      <c r="F6">
        <f t="shared" si="0"/>
        <v>15</v>
      </c>
      <c r="G6">
        <f t="shared" si="1"/>
        <v>19</v>
      </c>
      <c r="H6">
        <f t="shared" si="2"/>
        <v>1000</v>
      </c>
      <c r="I6">
        <f t="shared" si="3"/>
        <v>11034</v>
      </c>
      <c r="J6">
        <v>3000</v>
      </c>
      <c r="K6">
        <f t="shared" si="4"/>
        <v>2000</v>
      </c>
      <c r="L6">
        <f t="shared" si="5"/>
        <v>5000</v>
      </c>
      <c r="M6">
        <f t="shared" si="6"/>
        <v>6034</v>
      </c>
    </row>
    <row r="7" spans="1:13" x14ac:dyDescent="0.3">
      <c r="A7">
        <v>6</v>
      </c>
      <c r="B7" t="s">
        <v>18</v>
      </c>
      <c r="E7">
        <v>5000</v>
      </c>
      <c r="F7">
        <f t="shared" si="0"/>
        <v>12</v>
      </c>
      <c r="G7">
        <f t="shared" si="1"/>
        <v>16</v>
      </c>
      <c r="H7">
        <f t="shared" si="2"/>
        <v>400</v>
      </c>
      <c r="I7">
        <f t="shared" si="3"/>
        <v>5428</v>
      </c>
      <c r="J7">
        <v>500</v>
      </c>
      <c r="K7">
        <f t="shared" si="4"/>
        <v>1000</v>
      </c>
      <c r="L7">
        <f t="shared" si="5"/>
        <v>1500</v>
      </c>
      <c r="M7">
        <f t="shared" si="6"/>
        <v>3928</v>
      </c>
    </row>
    <row r="8" spans="1:13" x14ac:dyDescent="0.3">
      <c r="A8">
        <v>7</v>
      </c>
      <c r="B8" t="s">
        <v>19</v>
      </c>
      <c r="E8">
        <v>4500</v>
      </c>
      <c r="F8">
        <f t="shared" si="0"/>
        <v>12</v>
      </c>
      <c r="G8">
        <f t="shared" si="1"/>
        <v>16</v>
      </c>
      <c r="H8">
        <f t="shared" si="2"/>
        <v>400</v>
      </c>
      <c r="I8">
        <f t="shared" si="3"/>
        <v>4928</v>
      </c>
      <c r="J8">
        <v>500</v>
      </c>
      <c r="K8">
        <f t="shared" si="4"/>
        <v>900</v>
      </c>
      <c r="L8">
        <f t="shared" si="5"/>
        <v>1400</v>
      </c>
      <c r="M8">
        <f t="shared" si="6"/>
        <v>3528</v>
      </c>
    </row>
    <row r="9" spans="1:13" x14ac:dyDescent="0.3">
      <c r="A9">
        <v>8</v>
      </c>
      <c r="B9" t="s">
        <v>20</v>
      </c>
      <c r="E9">
        <v>30000</v>
      </c>
      <c r="F9">
        <f t="shared" si="0"/>
        <v>17</v>
      </c>
      <c r="G9">
        <f t="shared" si="1"/>
        <v>21</v>
      </c>
      <c r="H9">
        <f t="shared" si="2"/>
        <v>2000</v>
      </c>
      <c r="I9">
        <f t="shared" si="3"/>
        <v>32038</v>
      </c>
      <c r="J9">
        <v>12000</v>
      </c>
      <c r="K9">
        <f t="shared" si="4"/>
        <v>6000</v>
      </c>
      <c r="L9">
        <f t="shared" si="5"/>
        <v>18000</v>
      </c>
      <c r="M9">
        <f t="shared" si="6"/>
        <v>14038</v>
      </c>
    </row>
    <row r="10" spans="1:13" x14ac:dyDescent="0.3">
      <c r="A10">
        <v>9</v>
      </c>
      <c r="B10" t="s">
        <v>21</v>
      </c>
      <c r="E10">
        <v>26000</v>
      </c>
      <c r="F10">
        <f t="shared" si="0"/>
        <v>17</v>
      </c>
      <c r="G10">
        <f t="shared" si="1"/>
        <v>21</v>
      </c>
      <c r="H10">
        <f t="shared" si="2"/>
        <v>2000</v>
      </c>
      <c r="I10">
        <f t="shared" si="3"/>
        <v>28038</v>
      </c>
      <c r="J10">
        <v>11000</v>
      </c>
      <c r="K10">
        <f t="shared" si="4"/>
        <v>5200</v>
      </c>
      <c r="L10">
        <f t="shared" si="5"/>
        <v>16200</v>
      </c>
      <c r="M10">
        <f t="shared" si="6"/>
        <v>11838</v>
      </c>
    </row>
    <row r="11" spans="1:13" x14ac:dyDescent="0.3">
      <c r="A11">
        <v>10</v>
      </c>
      <c r="B11" t="s">
        <v>22</v>
      </c>
      <c r="E11">
        <v>14000</v>
      </c>
      <c r="F11">
        <f t="shared" si="0"/>
        <v>15</v>
      </c>
      <c r="G11">
        <f t="shared" si="1"/>
        <v>19</v>
      </c>
      <c r="H11">
        <f t="shared" si="2"/>
        <v>1000</v>
      </c>
      <c r="I11">
        <f t="shared" si="3"/>
        <v>15034</v>
      </c>
      <c r="J11">
        <v>5000</v>
      </c>
      <c r="K11">
        <f t="shared" si="4"/>
        <v>2800</v>
      </c>
      <c r="L11">
        <f t="shared" si="5"/>
        <v>7800</v>
      </c>
      <c r="M11">
        <f t="shared" si="6"/>
        <v>7234</v>
      </c>
    </row>
    <row r="15" spans="1:13" x14ac:dyDescent="0.3">
      <c r="D15" t="s">
        <v>23</v>
      </c>
      <c r="E15">
        <f>MAX(E2:E11)</f>
        <v>50000</v>
      </c>
      <c r="F15">
        <f t="shared" ref="F15:M15" si="7">MAX(F2:F11)</f>
        <v>20</v>
      </c>
      <c r="G15">
        <f t="shared" si="7"/>
        <v>25</v>
      </c>
      <c r="H15">
        <f t="shared" si="7"/>
        <v>5000</v>
      </c>
      <c r="I15">
        <f t="shared" si="7"/>
        <v>55045</v>
      </c>
      <c r="J15">
        <f t="shared" si="7"/>
        <v>12000</v>
      </c>
      <c r="K15">
        <f t="shared" si="7"/>
        <v>10000</v>
      </c>
      <c r="L15">
        <f t="shared" si="7"/>
        <v>18000</v>
      </c>
      <c r="M15">
        <f t="shared" si="7"/>
        <v>44045</v>
      </c>
    </row>
    <row r="16" spans="1:13" x14ac:dyDescent="0.3">
      <c r="D16" t="s">
        <v>24</v>
      </c>
      <c r="E16">
        <f>MIN(E2:E11)</f>
        <v>4500</v>
      </c>
      <c r="F16">
        <f t="shared" ref="F16:M16" si="8">MIN(F2:F11)</f>
        <v>12</v>
      </c>
      <c r="G16">
        <f t="shared" si="8"/>
        <v>16</v>
      </c>
      <c r="H16">
        <f t="shared" si="8"/>
        <v>400</v>
      </c>
      <c r="I16">
        <f t="shared" si="8"/>
        <v>4928</v>
      </c>
      <c r="J16">
        <f t="shared" si="8"/>
        <v>500</v>
      </c>
      <c r="K16">
        <f t="shared" si="8"/>
        <v>900</v>
      </c>
      <c r="L16">
        <f t="shared" si="8"/>
        <v>1400</v>
      </c>
      <c r="M16">
        <f t="shared" si="8"/>
        <v>3528</v>
      </c>
    </row>
    <row r="17" spans="4:13" x14ac:dyDescent="0.3">
      <c r="D17" t="s">
        <v>25</v>
      </c>
      <c r="E17">
        <f>AVERAGE(E2:E11)</f>
        <v>19450</v>
      </c>
      <c r="F17">
        <f t="shared" ref="F17:M17" si="9">AVERAGE(F2:F11)</f>
        <v>15.5</v>
      </c>
      <c r="G17">
        <f t="shared" si="9"/>
        <v>19.600000000000001</v>
      </c>
      <c r="H17">
        <f t="shared" si="9"/>
        <v>1580</v>
      </c>
      <c r="I17">
        <f t="shared" si="9"/>
        <v>21065.1</v>
      </c>
      <c r="J17">
        <f t="shared" si="9"/>
        <v>4800</v>
      </c>
      <c r="K17">
        <f t="shared" si="9"/>
        <v>3890</v>
      </c>
      <c r="L17">
        <f t="shared" si="9"/>
        <v>8690</v>
      </c>
      <c r="M17">
        <f t="shared" si="9"/>
        <v>12375.1</v>
      </c>
    </row>
    <row r="18" spans="4:13" x14ac:dyDescent="0.3">
      <c r="D18" t="s">
        <v>26</v>
      </c>
      <c r="E18">
        <f>AVERAGE(E2:E11)</f>
        <v>19450</v>
      </c>
      <c r="F18">
        <f t="shared" ref="F18:M18" si="10">AVERAGE(F2:F11)</f>
        <v>15.5</v>
      </c>
      <c r="G18">
        <f t="shared" si="10"/>
        <v>19.600000000000001</v>
      </c>
      <c r="H18">
        <f t="shared" si="10"/>
        <v>1580</v>
      </c>
      <c r="I18">
        <f t="shared" si="10"/>
        <v>21065.1</v>
      </c>
      <c r="J18">
        <f t="shared" si="10"/>
        <v>4800</v>
      </c>
      <c r="K18">
        <f t="shared" si="10"/>
        <v>3890</v>
      </c>
      <c r="L18">
        <f t="shared" si="10"/>
        <v>8690</v>
      </c>
      <c r="M18">
        <f t="shared" si="10"/>
        <v>12375.1</v>
      </c>
    </row>
    <row r="19" spans="4:13" x14ac:dyDescent="0.3">
      <c r="D19" t="s">
        <v>27</v>
      </c>
      <c r="E19">
        <f>MODE(E2:E11)</f>
        <v>10000</v>
      </c>
      <c r="F19">
        <f t="shared" ref="F19:K19" si="11">MODE(F2:F11)</f>
        <v>15</v>
      </c>
      <c r="G19">
        <f t="shared" si="11"/>
        <v>19</v>
      </c>
      <c r="H19">
        <f t="shared" si="11"/>
        <v>1000</v>
      </c>
      <c r="I19">
        <f t="shared" si="11"/>
        <v>11034</v>
      </c>
      <c r="J19">
        <f t="shared" si="11"/>
        <v>1000</v>
      </c>
      <c r="K19">
        <f t="shared" si="11"/>
        <v>2000</v>
      </c>
    </row>
    <row r="20" spans="4:13" x14ac:dyDescent="0.3">
      <c r="D20" t="s">
        <v>28</v>
      </c>
      <c r="E20">
        <f>STDEVA(E2:E11)</f>
        <v>13981.038746976008</v>
      </c>
      <c r="F20">
        <f t="shared" ref="F20:M20" si="12">STDEVA(F2:F11)</f>
        <v>2.4152294576982398</v>
      </c>
      <c r="G20">
        <f t="shared" si="12"/>
        <v>2.6331223544175351</v>
      </c>
      <c r="H20">
        <f t="shared" si="12"/>
        <v>1348.085061608997</v>
      </c>
      <c r="I20">
        <f t="shared" si="12"/>
        <v>15282.091803080419</v>
      </c>
      <c r="J20">
        <f t="shared" si="12"/>
        <v>4934.0089627446405</v>
      </c>
      <c r="K20">
        <f t="shared" si="12"/>
        <v>2796.2077493952015</v>
      </c>
      <c r="L20">
        <f t="shared" si="12"/>
        <v>6292.2262444313865</v>
      </c>
      <c r="M20">
        <f t="shared" si="12"/>
        <v>12264.485081821504</v>
      </c>
    </row>
    <row r="21" spans="4:13" x14ac:dyDescent="0.3">
      <c r="D21" t="s">
        <v>29</v>
      </c>
      <c r="E21">
        <f>POWER(E20,2)</f>
        <v>195469444.44444448</v>
      </c>
      <c r="F21">
        <f t="shared" ref="F21:M21" si="13">POWER(F20,2)</f>
        <v>5.8333333333333339</v>
      </c>
      <c r="G21">
        <f t="shared" si="13"/>
        <v>6.9333333333333433</v>
      </c>
      <c r="H21">
        <f t="shared" si="13"/>
        <v>1817333.3333333333</v>
      </c>
      <c r="I21">
        <f t="shared" si="13"/>
        <v>233542329.87777773</v>
      </c>
      <c r="J21">
        <f t="shared" si="13"/>
        <v>24344444.444444444</v>
      </c>
      <c r="K21">
        <f t="shared" si="13"/>
        <v>7818777.777777778</v>
      </c>
      <c r="L21">
        <f t="shared" si="13"/>
        <v>39592111.111111112</v>
      </c>
      <c r="M21">
        <f t="shared" si="13"/>
        <v>150417594.3222222</v>
      </c>
    </row>
    <row r="22" spans="4:13" x14ac:dyDescent="0.3">
      <c r="D22" t="s">
        <v>30</v>
      </c>
      <c r="E22">
        <f>SUMIF(E2:E11,14000)</f>
        <v>14000</v>
      </c>
    </row>
    <row r="23" spans="4:13" x14ac:dyDescent="0.3">
      <c r="D23" t="s">
        <v>31</v>
      </c>
      <c r="E23">
        <f>COUNTA(E2:E11)</f>
        <v>10</v>
      </c>
      <c r="F23">
        <f t="shared" ref="F23:M23" si="14">COUNTA(F2:F11)</f>
        <v>10</v>
      </c>
      <c r="G23">
        <f t="shared" si="14"/>
        <v>10</v>
      </c>
      <c r="H23">
        <f t="shared" si="14"/>
        <v>10</v>
      </c>
      <c r="I23">
        <f t="shared" si="14"/>
        <v>10</v>
      </c>
      <c r="J23">
        <f t="shared" si="14"/>
        <v>10</v>
      </c>
      <c r="K23">
        <f t="shared" si="14"/>
        <v>10</v>
      </c>
      <c r="L23">
        <f t="shared" si="14"/>
        <v>10</v>
      </c>
      <c r="M23">
        <f t="shared" si="14"/>
        <v>10</v>
      </c>
    </row>
    <row r="24" spans="4:13" x14ac:dyDescent="0.3">
      <c r="D24" t="s">
        <v>32</v>
      </c>
      <c r="E24">
        <f>COUNTIF(E2:E11,4500)</f>
        <v>1</v>
      </c>
    </row>
    <row r="25" spans="4:13" x14ac:dyDescent="0.3">
      <c r="D25" t="s">
        <v>33</v>
      </c>
      <c r="E25">
        <f>COUNTBLANK(E2:E11)</f>
        <v>0</v>
      </c>
    </row>
    <row r="26" spans="4:13" x14ac:dyDescent="0.3">
      <c r="D26" t="s">
        <v>34</v>
      </c>
      <c r="E26">
        <f>SUMIFS(E2:E11,I2:I11,5000)</f>
        <v>0</v>
      </c>
    </row>
    <row r="27" spans="4:13" x14ac:dyDescent="0.3">
      <c r="D27" t="s">
        <v>35</v>
      </c>
      <c r="E27">
        <f>COUNTIFS(E2:E11,10000)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ALOK TAYAL</cp:lastModifiedBy>
  <dcterms:created xsi:type="dcterms:W3CDTF">2023-04-25T08:48:22Z</dcterms:created>
  <dcterms:modified xsi:type="dcterms:W3CDTF">2023-04-25T14:25:48Z</dcterms:modified>
</cp:coreProperties>
</file>